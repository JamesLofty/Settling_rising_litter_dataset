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loftyj_cardiff_ac_uk/Documents/Postdoc/2024 Plastic-detection/Plastic_tracker_codes/Calibration_codes/Extrinsic_calibration/"/>
    </mc:Choice>
  </mc:AlternateContent>
  <xr:revisionPtr revIDLastSave="580" documentId="8_{00904C27-01D9-4CC5-9F5F-304E1B193E44}" xr6:coauthVersionLast="47" xr6:coauthVersionMax="47" xr10:uidLastSave="{419079C6-D142-F743-A8D8-DD4146858E51}"/>
  <bookViews>
    <workbookView xWindow="0" yWindow="620" windowWidth="28800" windowHeight="16480" xr2:uid="{C23EA28B-8BF4-AF46-86CE-B226EA58CB96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H6" i="1" s="1"/>
  <c r="F6" i="1"/>
  <c r="I6" i="1" s="1"/>
  <c r="L6" i="1" s="1"/>
  <c r="K6" i="1"/>
  <c r="E7" i="1"/>
  <c r="H7" i="1" s="1"/>
  <c r="F7" i="1"/>
  <c r="I7" i="1"/>
  <c r="K7" i="1"/>
  <c r="L7" i="1"/>
  <c r="E8" i="1"/>
  <c r="F8" i="1"/>
  <c r="I8" i="1" s="1"/>
  <c r="L8" i="1" s="1"/>
  <c r="H8" i="1"/>
  <c r="K8" i="1"/>
  <c r="E9" i="1"/>
  <c r="F9" i="1"/>
  <c r="H9" i="1"/>
  <c r="I9" i="1"/>
  <c r="L9" i="1" s="1"/>
  <c r="K9" i="1"/>
  <c r="E2" i="1"/>
  <c r="H2" i="1" s="1"/>
  <c r="F2" i="1"/>
  <c r="E3" i="1"/>
  <c r="F3" i="1"/>
  <c r="E4" i="1"/>
  <c r="H4" i="1" s="1"/>
  <c r="F4" i="1"/>
  <c r="I4" i="1" s="1"/>
  <c r="L4" i="1" s="1"/>
  <c r="E5" i="1"/>
  <c r="H5" i="1" s="1"/>
  <c r="F5" i="1"/>
  <c r="I5" i="1" s="1"/>
  <c r="L5" i="1" s="1"/>
  <c r="K2" i="1"/>
  <c r="I2" i="1"/>
  <c r="L2" i="1" s="1"/>
  <c r="K3" i="1"/>
  <c r="K4" i="1"/>
  <c r="K5" i="1"/>
  <c r="H3" i="1"/>
  <c r="I3" i="1"/>
  <c r="L3" i="1" s="1"/>
  <c r="E4" i="2"/>
</calcChain>
</file>

<file path=xl/sharedStrings.xml><?xml version="1.0" encoding="utf-8"?>
<sst xmlns="http://schemas.openxmlformats.org/spreadsheetml/2006/main" count="26" uniqueCount="13">
  <si>
    <t>id</t>
  </si>
  <si>
    <t>x0</t>
  </si>
  <si>
    <t>y0</t>
  </si>
  <si>
    <t>z0</t>
  </si>
  <si>
    <t>x1</t>
  </si>
  <si>
    <t>y1</t>
  </si>
  <si>
    <t>z1</t>
  </si>
  <si>
    <t>x2</t>
  </si>
  <si>
    <t>y2</t>
  </si>
  <si>
    <t>z2</t>
  </si>
  <si>
    <t>x3</t>
  </si>
  <si>
    <t>y3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</si>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</sst>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0E0E0E"/>
      <name val=".AppleSystemUIFontMonospac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8E2D-1272-2647-AFC5-A7A0D46059FD}">
  <dimension ref="A1:M9"/>
  <sheetViews>
    <sheetView tabSelected="1" workbookViewId="0">
      <selection activeCell="M16" sqref="M16"/>
    </sheetView>
  </sheetViews>
  <sheetFormatPr baseColWidth="10" defaultColWidth="8.83203125" defaultRowHeight="16"/>
  <sheetData>
    <row r="1" spans="1:13" ht="1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12.5</v>
      </c>
      <c r="C2">
        <v>60.6</v>
      </c>
      <c r="D2">
        <v>128</v>
      </c>
      <c r="E2">
        <f>B2+7</f>
        <v>19.5</v>
      </c>
      <c r="F2">
        <f t="shared" ref="F2:F9" si="0">C2</f>
        <v>60.6</v>
      </c>
      <c r="G2">
        <v>128</v>
      </c>
      <c r="H2">
        <f t="shared" ref="H2:H9" si="1">E2</f>
        <v>19.5</v>
      </c>
      <c r="I2">
        <f>F2-7</f>
        <v>53.6</v>
      </c>
      <c r="J2">
        <v>128</v>
      </c>
      <c r="K2">
        <f t="shared" ref="K2:K9" si="2">B2</f>
        <v>12.5</v>
      </c>
      <c r="L2">
        <f t="shared" ref="L2:L9" si="3">I2</f>
        <v>53.6</v>
      </c>
      <c r="M2">
        <v>128</v>
      </c>
    </row>
    <row r="3" spans="1:13">
      <c r="A3">
        <v>1</v>
      </c>
      <c r="B3">
        <v>12.8</v>
      </c>
      <c r="C3">
        <v>98</v>
      </c>
      <c r="D3">
        <v>128</v>
      </c>
      <c r="E3">
        <f>B3+7</f>
        <v>19.8</v>
      </c>
      <c r="F3">
        <f t="shared" si="0"/>
        <v>98</v>
      </c>
      <c r="G3">
        <v>128</v>
      </c>
      <c r="H3">
        <f t="shared" si="1"/>
        <v>19.8</v>
      </c>
      <c r="I3">
        <f>F3-7</f>
        <v>91</v>
      </c>
      <c r="J3">
        <v>128</v>
      </c>
      <c r="K3">
        <f t="shared" si="2"/>
        <v>12.8</v>
      </c>
      <c r="L3">
        <f t="shared" si="3"/>
        <v>91</v>
      </c>
      <c r="M3">
        <v>128</v>
      </c>
    </row>
    <row r="4" spans="1:13">
      <c r="A4">
        <v>2</v>
      </c>
      <c r="B4">
        <v>110.5</v>
      </c>
      <c r="C4">
        <v>99</v>
      </c>
      <c r="D4">
        <v>128</v>
      </c>
      <c r="E4">
        <f>B4+7</f>
        <v>117.5</v>
      </c>
      <c r="F4">
        <f t="shared" si="0"/>
        <v>99</v>
      </c>
      <c r="G4">
        <v>128</v>
      </c>
      <c r="H4">
        <f t="shared" si="1"/>
        <v>117.5</v>
      </c>
      <c r="I4">
        <f>F4-7</f>
        <v>92</v>
      </c>
      <c r="J4">
        <v>128</v>
      </c>
      <c r="K4">
        <f t="shared" si="2"/>
        <v>110.5</v>
      </c>
      <c r="L4">
        <f t="shared" si="3"/>
        <v>92</v>
      </c>
      <c r="M4">
        <v>128</v>
      </c>
    </row>
    <row r="5" spans="1:13">
      <c r="A5">
        <v>3</v>
      </c>
      <c r="B5">
        <v>109.5</v>
      </c>
      <c r="C5">
        <v>60.6</v>
      </c>
      <c r="D5">
        <v>128</v>
      </c>
      <c r="E5">
        <f>B5+7</f>
        <v>116.5</v>
      </c>
      <c r="F5">
        <f t="shared" si="0"/>
        <v>60.6</v>
      </c>
      <c r="G5">
        <v>128</v>
      </c>
      <c r="H5">
        <f t="shared" si="1"/>
        <v>116.5</v>
      </c>
      <c r="I5">
        <f>F5-7</f>
        <v>53.6</v>
      </c>
      <c r="J5">
        <v>128</v>
      </c>
      <c r="K5">
        <f t="shared" si="2"/>
        <v>109.5</v>
      </c>
      <c r="L5">
        <f t="shared" si="3"/>
        <v>53.6</v>
      </c>
      <c r="M5">
        <v>128</v>
      </c>
    </row>
    <row r="6" spans="1:13">
      <c r="A6">
        <v>4</v>
      </c>
      <c r="B6">
        <v>21</v>
      </c>
      <c r="C6">
        <v>40</v>
      </c>
      <c r="D6">
        <v>0</v>
      </c>
      <c r="E6">
        <f>B6+10</f>
        <v>31</v>
      </c>
      <c r="F6">
        <f t="shared" si="0"/>
        <v>40</v>
      </c>
      <c r="G6">
        <v>0</v>
      </c>
      <c r="H6">
        <f t="shared" si="1"/>
        <v>31</v>
      </c>
      <c r="I6">
        <f>F6-10</f>
        <v>30</v>
      </c>
      <c r="J6">
        <v>0</v>
      </c>
      <c r="K6">
        <f t="shared" si="2"/>
        <v>21</v>
      </c>
      <c r="L6">
        <f t="shared" si="3"/>
        <v>30</v>
      </c>
      <c r="M6">
        <v>0</v>
      </c>
    </row>
    <row r="7" spans="1:13">
      <c r="A7">
        <v>5</v>
      </c>
      <c r="B7">
        <v>21</v>
      </c>
      <c r="C7">
        <v>100</v>
      </c>
      <c r="D7">
        <v>0</v>
      </c>
      <c r="E7">
        <f>B7+10</f>
        <v>31</v>
      </c>
      <c r="F7">
        <f t="shared" si="0"/>
        <v>100</v>
      </c>
      <c r="G7">
        <v>0</v>
      </c>
      <c r="H7">
        <f t="shared" si="1"/>
        <v>31</v>
      </c>
      <c r="I7">
        <f>F7-10</f>
        <v>90</v>
      </c>
      <c r="J7">
        <v>0</v>
      </c>
      <c r="K7">
        <f t="shared" si="2"/>
        <v>21</v>
      </c>
      <c r="L7">
        <f t="shared" si="3"/>
        <v>90</v>
      </c>
      <c r="M7">
        <v>0</v>
      </c>
    </row>
    <row r="8" spans="1:13">
      <c r="A8">
        <v>6</v>
      </c>
      <c r="B8">
        <v>102</v>
      </c>
      <c r="C8">
        <v>100</v>
      </c>
      <c r="D8">
        <v>0</v>
      </c>
      <c r="E8">
        <f>B8+10</f>
        <v>112</v>
      </c>
      <c r="F8">
        <f t="shared" si="0"/>
        <v>100</v>
      </c>
      <c r="G8">
        <v>0</v>
      </c>
      <c r="H8">
        <f t="shared" si="1"/>
        <v>112</v>
      </c>
      <c r="I8">
        <f>F8-10</f>
        <v>90</v>
      </c>
      <c r="J8">
        <v>0</v>
      </c>
      <c r="K8">
        <f t="shared" si="2"/>
        <v>102</v>
      </c>
      <c r="L8">
        <f t="shared" si="3"/>
        <v>90</v>
      </c>
      <c r="M8">
        <v>0</v>
      </c>
    </row>
    <row r="9" spans="1:13">
      <c r="A9">
        <v>7</v>
      </c>
      <c r="B9">
        <v>102</v>
      </c>
      <c r="C9">
        <v>40</v>
      </c>
      <c r="D9">
        <v>0</v>
      </c>
      <c r="E9">
        <f>B9+10</f>
        <v>112</v>
      </c>
      <c r="F9">
        <f t="shared" si="0"/>
        <v>40</v>
      </c>
      <c r="G9">
        <v>0</v>
      </c>
      <c r="H9">
        <f t="shared" si="1"/>
        <v>112</v>
      </c>
      <c r="I9">
        <f>F9-10</f>
        <v>30</v>
      </c>
      <c r="J9">
        <v>0</v>
      </c>
      <c r="K9">
        <f t="shared" si="2"/>
        <v>102</v>
      </c>
      <c r="L9">
        <f t="shared" si="3"/>
        <v>30</v>
      </c>
      <c r="M9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19D7-E16A-4341-BC81-1506F513E82A}">
  <dimension ref="A1"/>
  <sheetViews>
    <sheetView workbookViewId="0">
      <selection activeCell="K16" sqref="K16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8027-30B5-4423-BA56-175563230FCE}">
  <dimension ref="A1:M11"/>
  <sheetViews>
    <sheetView workbookViewId="0">
      <selection activeCell="G28" sqref="A1:XFD1048576"/>
    </sheetView>
  </sheetViews>
  <sheetFormatPr baseColWidth="10" defaultColWidth="8.83203125" defaultRowHeight="16"/>
  <sheetData>
    <row r="1" spans="1:13" ht="1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0</v>
      </c>
      <c r="C2">
        <v>31</v>
      </c>
      <c r="D2">
        <v>128</v>
      </c>
      <c r="E2">
        <v>7</v>
      </c>
      <c r="F2">
        <v>31</v>
      </c>
      <c r="G2">
        <v>128</v>
      </c>
      <c r="H2">
        <v>7</v>
      </c>
      <c r="I2">
        <v>24</v>
      </c>
      <c r="J2">
        <v>128</v>
      </c>
      <c r="K2">
        <v>0</v>
      </c>
      <c r="L2">
        <v>24</v>
      </c>
      <c r="M2">
        <v>128</v>
      </c>
    </row>
    <row r="3" spans="1:13">
      <c r="A3">
        <v>1</v>
      </c>
      <c r="B3">
        <v>0</v>
      </c>
      <c r="C3">
        <v>68</v>
      </c>
      <c r="D3">
        <v>128</v>
      </c>
      <c r="E3">
        <v>7</v>
      </c>
      <c r="F3">
        <v>68</v>
      </c>
      <c r="G3">
        <v>128</v>
      </c>
      <c r="H3">
        <v>7</v>
      </c>
      <c r="I3">
        <v>61</v>
      </c>
      <c r="J3">
        <v>128</v>
      </c>
      <c r="K3">
        <v>0</v>
      </c>
      <c r="L3">
        <v>61</v>
      </c>
      <c r="M3">
        <v>128</v>
      </c>
    </row>
    <row r="4" spans="1:13">
      <c r="A4">
        <v>2</v>
      </c>
      <c r="B4">
        <v>97.5</v>
      </c>
      <c r="C4">
        <v>68</v>
      </c>
      <c r="D4">
        <v>128</v>
      </c>
      <c r="E4">
        <f>B4+7</f>
        <v>104.5</v>
      </c>
      <c r="F4">
        <v>68</v>
      </c>
      <c r="G4">
        <v>128</v>
      </c>
      <c r="H4">
        <v>104.5</v>
      </c>
      <c r="I4">
        <v>61</v>
      </c>
      <c r="J4">
        <v>128</v>
      </c>
      <c r="K4">
        <v>97.5</v>
      </c>
      <c r="L4">
        <v>61</v>
      </c>
      <c r="M4">
        <v>128</v>
      </c>
    </row>
    <row r="5" spans="1:13">
      <c r="A5">
        <v>3</v>
      </c>
      <c r="B5">
        <v>97.5</v>
      </c>
      <c r="C5">
        <v>31</v>
      </c>
      <c r="D5">
        <v>128</v>
      </c>
      <c r="E5">
        <v>104.5</v>
      </c>
      <c r="F5">
        <v>31</v>
      </c>
      <c r="G5">
        <v>128</v>
      </c>
      <c r="H5">
        <v>104.5</v>
      </c>
      <c r="I5">
        <v>24</v>
      </c>
      <c r="J5">
        <v>128</v>
      </c>
      <c r="K5">
        <v>97.5</v>
      </c>
      <c r="L5">
        <v>24</v>
      </c>
      <c r="M5">
        <v>128</v>
      </c>
    </row>
    <row r="8" spans="1:13">
      <c r="A8">
        <v>4</v>
      </c>
      <c r="B8">
        <v>9</v>
      </c>
      <c r="C8">
        <v>10</v>
      </c>
      <c r="D8">
        <v>0</v>
      </c>
      <c r="E8">
        <v>19</v>
      </c>
      <c r="F8">
        <v>10</v>
      </c>
      <c r="G8">
        <v>0</v>
      </c>
      <c r="H8">
        <v>19</v>
      </c>
      <c r="I8">
        <v>0</v>
      </c>
      <c r="J8">
        <v>0</v>
      </c>
      <c r="K8">
        <v>9</v>
      </c>
      <c r="L8">
        <v>0</v>
      </c>
      <c r="M8">
        <v>0</v>
      </c>
    </row>
    <row r="9" spans="1:13">
      <c r="A9">
        <v>5</v>
      </c>
      <c r="B9">
        <v>9</v>
      </c>
      <c r="C9">
        <v>70</v>
      </c>
      <c r="D9">
        <v>0</v>
      </c>
      <c r="E9">
        <v>19</v>
      </c>
      <c r="F9">
        <v>70</v>
      </c>
      <c r="G9">
        <v>0</v>
      </c>
      <c r="H9">
        <v>19</v>
      </c>
      <c r="I9">
        <v>60</v>
      </c>
      <c r="J9">
        <v>0</v>
      </c>
      <c r="K9">
        <v>9</v>
      </c>
      <c r="L9">
        <v>60</v>
      </c>
      <c r="M9">
        <v>0</v>
      </c>
    </row>
    <row r="10" spans="1:13">
      <c r="A10">
        <v>6</v>
      </c>
      <c r="B10">
        <v>80</v>
      </c>
      <c r="C10">
        <v>70</v>
      </c>
      <c r="D10">
        <v>0</v>
      </c>
      <c r="E10">
        <v>90</v>
      </c>
      <c r="F10">
        <v>70</v>
      </c>
      <c r="G10">
        <v>0</v>
      </c>
      <c r="H10">
        <v>90</v>
      </c>
      <c r="I10">
        <v>60</v>
      </c>
      <c r="J10">
        <v>0</v>
      </c>
      <c r="K10">
        <v>80</v>
      </c>
      <c r="L10">
        <v>60</v>
      </c>
      <c r="M10">
        <v>0</v>
      </c>
    </row>
    <row r="11" spans="1:13">
      <c r="A11">
        <v>7</v>
      </c>
      <c r="B11">
        <v>80</v>
      </c>
      <c r="C11">
        <v>10</v>
      </c>
      <c r="D11">
        <v>0</v>
      </c>
      <c r="E11">
        <v>90</v>
      </c>
      <c r="F11">
        <v>10</v>
      </c>
      <c r="G11">
        <v>0</v>
      </c>
      <c r="H11">
        <v>90</v>
      </c>
      <c r="I11">
        <v>0</v>
      </c>
      <c r="J11">
        <v>0</v>
      </c>
      <c r="K11">
        <v>80</v>
      </c>
      <c r="L11">
        <v>0</v>
      </c>
      <c r="M1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Lofty</dc:creator>
  <cp:lastModifiedBy>James Lofty</cp:lastModifiedBy>
  <dcterms:created xsi:type="dcterms:W3CDTF">2024-11-19T12:26:24Z</dcterms:created>
  <dcterms:modified xsi:type="dcterms:W3CDTF">2025-10-28T16:41:08Z</dcterms:modified>
</cp:coreProperties>
</file>